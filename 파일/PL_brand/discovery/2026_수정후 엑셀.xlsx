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FS260312\파일\PL_brand\discovery\"/>
    </mc:Choice>
  </mc:AlternateContent>
  <xr:revisionPtr revIDLastSave="0" documentId="13_ncr:1_{B2D8551C-3B23-47ED-AEBA-34E6667BC1AB}" xr6:coauthVersionLast="47" xr6:coauthVersionMax="47" xr10:uidLastSave="{00000000-0000-0000-0000-000000000000}"/>
  <bookViews>
    <workbookView xWindow="-120" yWindow="-120" windowWidth="29040" windowHeight="15720" xr2:uid="{1F1E9E6D-B1A4-4B20-B422-8BC196DEE52C}"/>
  </bookViews>
  <sheets>
    <sheet name="2026_v2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 s="1"/>
  <c r="L2" i="1"/>
  <c r="L3" i="1" s="1"/>
  <c r="K2" i="1"/>
  <c r="K3" i="1" s="1"/>
  <c r="J2" i="1"/>
  <c r="J3" i="1" s="1"/>
  <c r="I2" i="1"/>
  <c r="I3" i="1" s="1"/>
  <c r="M7" i="1"/>
  <c r="L7" i="1"/>
  <c r="K7" i="1"/>
  <c r="J7" i="1"/>
  <c r="I7" i="1"/>
  <c r="M22" i="1"/>
  <c r="L22" i="1"/>
  <c r="K22" i="1"/>
  <c r="J22" i="1"/>
  <c r="I22" i="1"/>
  <c r="K21" i="1"/>
  <c r="L21" i="1" s="1"/>
  <c r="M21" i="1" s="1"/>
  <c r="J21" i="1"/>
  <c r="I21" i="1"/>
  <c r="K20" i="1"/>
  <c r="L20" i="1" s="1"/>
  <c r="M20" i="1" s="1"/>
  <c r="J20" i="1"/>
  <c r="I20" i="1"/>
  <c r="M19" i="1"/>
  <c r="L19" i="1"/>
  <c r="K19" i="1"/>
  <c r="J19" i="1"/>
  <c r="I19" i="1"/>
  <c r="K18" i="1"/>
  <c r="J18" i="1"/>
  <c r="M36" i="1"/>
  <c r="L36" i="1"/>
  <c r="K36" i="1"/>
  <c r="J36" i="1"/>
  <c r="J37" i="1" s="1"/>
  <c r="I36" i="1"/>
  <c r="I37" i="1"/>
  <c r="I18" i="1" s="1"/>
  <c r="B37" i="1"/>
  <c r="C37" i="1"/>
  <c r="D37" i="1"/>
  <c r="E37" i="1"/>
  <c r="F37" i="1"/>
  <c r="G37" i="1"/>
  <c r="H37" i="1"/>
  <c r="K37" i="1"/>
  <c r="L37" i="1"/>
  <c r="L18" i="1" s="1"/>
  <c r="M37" i="1"/>
  <c r="M18" i="1" s="1"/>
  <c r="M17" i="1" l="1"/>
  <c r="L17" i="1"/>
  <c r="K17" i="1"/>
  <c r="J17" i="1"/>
  <c r="I17" i="1"/>
  <c r="M16" i="1"/>
  <c r="L16" i="1"/>
  <c r="K16" i="1"/>
  <c r="J16" i="1"/>
  <c r="I16" i="1"/>
  <c r="I15" i="1"/>
  <c r="M15" i="1"/>
  <c r="L15" i="1"/>
  <c r="K15" i="1"/>
  <c r="J15" i="1"/>
  <c r="J14" i="1"/>
  <c r="K14" i="1"/>
  <c r="L14" i="1"/>
  <c r="M14" i="1"/>
  <c r="I14" i="1"/>
  <c r="J13" i="1"/>
  <c r="K13" i="1"/>
  <c r="L13" i="1"/>
  <c r="M13" i="1"/>
  <c r="I13" i="1"/>
  <c r="M31" i="1"/>
  <c r="L31" i="1"/>
  <c r="K31" i="1"/>
  <c r="J31" i="1"/>
  <c r="I31" i="1"/>
  <c r="M30" i="1"/>
  <c r="L30" i="1"/>
  <c r="K30" i="1"/>
  <c r="J30" i="1"/>
  <c r="I30" i="1"/>
  <c r="M29" i="1"/>
  <c r="L29" i="1"/>
  <c r="K29" i="1"/>
  <c r="J29" i="1"/>
  <c r="I29" i="1"/>
  <c r="M28" i="1"/>
  <c r="L28" i="1"/>
  <c r="K28" i="1"/>
  <c r="J28" i="1"/>
  <c r="I28" i="1"/>
  <c r="M27" i="1"/>
  <c r="L27" i="1"/>
  <c r="K27" i="1"/>
  <c r="J27" i="1"/>
  <c r="I27" i="1"/>
  <c r="M26" i="1"/>
  <c r="L26" i="1"/>
  <c r="K26" i="1"/>
  <c r="J26" i="1"/>
  <c r="I26" i="1"/>
  <c r="M25" i="1"/>
  <c r="L25" i="1"/>
  <c r="K25" i="1"/>
  <c r="J25" i="1"/>
  <c r="I25" i="1"/>
  <c r="M24" i="1"/>
  <c r="L24" i="1"/>
  <c r="K24" i="1"/>
  <c r="J24" i="1"/>
  <c r="I24" i="1"/>
  <c r="M23" i="1"/>
  <c r="L23" i="1"/>
  <c r="K23" i="1"/>
  <c r="J23" i="1"/>
  <c r="I23" i="1"/>
  <c r="M10" i="1"/>
  <c r="L10" i="1"/>
  <c r="J11" i="1"/>
  <c r="I11" i="1"/>
  <c r="M12" i="1"/>
  <c r="L12" i="1"/>
  <c r="K12" i="1"/>
  <c r="K10" i="1" s="1"/>
  <c r="J12" i="1"/>
  <c r="J10" i="1" s="1"/>
  <c r="I12" i="1"/>
  <c r="I10" i="1" s="1"/>
  <c r="M9" i="1"/>
  <c r="I9" i="1"/>
  <c r="L9" i="1"/>
  <c r="K9" i="1"/>
  <c r="J9" i="1"/>
  <c r="N8" i="1" l="1"/>
</calcChain>
</file>

<file path=xl/sharedStrings.xml><?xml version="1.0" encoding="utf-8"?>
<sst xmlns="http://schemas.openxmlformats.org/spreadsheetml/2006/main" count="67" uniqueCount="52">
  <si>
    <t>계정과목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</si>
  <si>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</si>
  <si>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</si>
  <si>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</si>
  <si>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</si>
  <si>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</si>
  <si>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</si>
  <si>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</si>
  <si>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</si>
  <si>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</si>
  <si>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</si>
  <si>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</si>
  <si>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</si>
  <si>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Tag매출_대리상_ACC</t>
  </si>
  <si>
    <t>Tag매출_대리상_APP</t>
  </si>
  <si>
    <t>Tag매출_직영_ACC</t>
  </si>
  <si>
    <t>Tag매출_직영_APP</t>
  </si>
  <si>
    <t>Tag매출</t>
  </si>
  <si>
    <t>실판매출</t>
  </si>
  <si>
    <t>매출원가</t>
  </si>
  <si>
    <t>평가감</t>
  </si>
  <si>
    <t>평가감(설정)</t>
  </si>
  <si>
    <t>평가감(환입)</t>
  </si>
  <si>
    <t>급여(매장)</t>
  </si>
  <si>
    <t>복리후생비(매장)</t>
  </si>
  <si>
    <t>플랫폼수수료</t>
  </si>
  <si>
    <t>TP수수료</t>
  </si>
  <si>
    <t>직접광고비</t>
  </si>
  <si>
    <t>대리상지원금</t>
  </si>
  <si>
    <t>물류비</t>
  </si>
  <si>
    <t>매장임차료</t>
  </si>
  <si>
    <t>감가상각비</t>
  </si>
  <si>
    <t>기타(직접비)</t>
  </si>
  <si>
    <t>급여(사무실)</t>
  </si>
  <si>
    <t>복리후생비(사무실)</t>
  </si>
  <si>
    <t>광고비</t>
  </si>
  <si>
    <t>수주회</t>
  </si>
  <si>
    <t>지급수수료</t>
  </si>
  <si>
    <t>임차료</t>
  </si>
  <si>
    <t>감가상각비(영업비)</t>
  </si>
  <si>
    <t>세금과공과</t>
  </si>
  <si>
    <t>기타(영업비)</t>
  </si>
  <si>
    <t>기존매출 FR OFF</t>
    <phoneticPr fontId="18" type="noConversion"/>
  </si>
  <si>
    <t>대리상매출대비</t>
    <phoneticPr fontId="18" type="noConversion"/>
  </si>
  <si>
    <t>전체매출대비</t>
    <phoneticPr fontId="18" type="noConversion"/>
  </si>
  <si>
    <t>기존계획대로</t>
  </si>
  <si>
    <t>기존계획대로</t>
    <phoneticPr fontId="18" type="noConversion"/>
  </si>
  <si>
    <t>5월매출 최저로 보기</t>
    <phoneticPr fontId="18" type="noConversion"/>
  </si>
  <si>
    <t>8월과 동일하게</t>
  </si>
  <si>
    <t>8월과 동일하게</t>
    <phoneticPr fontId="18" type="noConversion"/>
  </si>
  <si>
    <t>매장오픈X</t>
    <phoneticPr fontId="18" type="noConversion"/>
  </si>
  <si>
    <t>비율로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</si>
</sst>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;[Red]\-#,##0\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33" borderId="0" xfId="0" applyFill="1">
      <alignment vertical="center"/>
    </xf>
    <xf numFmtId="3" fontId="0" fillId="33" borderId="0" xfId="0" applyNumberFormat="1" applyFill="1">
      <alignment vertical="center"/>
    </xf>
    <xf numFmtId="0" fontId="0" fillId="34" borderId="0" xfId="0" applyFill="1">
      <alignment vertical="center"/>
    </xf>
    <xf numFmtId="3" fontId="0" fillId="34" borderId="0" xfId="0" applyNumberFormat="1" applyFill="1">
      <alignment vertical="center"/>
    </xf>
    <xf numFmtId="41" fontId="0" fillId="0" borderId="0" xfId="1" applyFont="1">
      <alignment vertical="center"/>
    </xf>
    <xf numFmtId="0" fontId="19" fillId="0" borderId="0" xfId="0" applyFont="1">
      <alignment vertical="center"/>
    </xf>
    <xf numFmtId="3" fontId="19" fillId="0" borderId="0" xfId="0" applyNumberFormat="1" applyFont="1">
      <alignment vertical="center"/>
    </xf>
    <xf numFmtId="3" fontId="19" fillId="33" borderId="0" xfId="0" applyNumberFormat="1" applyFont="1" applyFill="1">
      <alignment vertical="center"/>
    </xf>
    <xf numFmtId="176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76" fontId="19" fillId="33" borderId="0" xfId="1" applyNumberFormat="1" applyFont="1" applyFill="1">
      <alignment vertical="center"/>
    </xf>
    <xf numFmtId="176" fontId="19" fillId="0" borderId="0" xfId="0" applyNumberFormat="1" applyFont="1">
      <alignment vertical="center"/>
    </xf>
    <xf numFmtId="176" fontId="0" fillId="34" borderId="0" xfId="0" applyNumberFormat="1" applyFill="1">
      <alignment vertical="center"/>
    </xf>
    <xf numFmtId="9" fontId="0" fillId="0" borderId="0" xfId="2" applyFont="1">
      <alignment vertical="center"/>
    </xf>
  </cellXfs>
  <cellStyles count="44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nf365-my.sharepoint.com/personal/hyunmi21_fnfcorp_com/Documents/&#48148;&#53461;%20&#54868;&#47732;/&#54788;&#48120;/19.%20&#51473;&#44397;/&#9654;&#49892;&#51201;&#48372;&#44256;/2026&#45380;/7&#50900;/1)%20&#51473;&#44397;&#48277;&#51064;%20&#49892;&#51201;&#48372;&#44256;%20(26.07).xlsx" TargetMode="External"/><Relationship Id="rId1" Type="http://schemas.openxmlformats.org/officeDocument/2006/relationships/externalLinkPath" Target="https://fnf365-my.sharepoint.com/personal/hyunmi21_fnfcorp_com/Documents/&#48148;&#53461;%20&#54868;&#47732;/&#54788;&#48120;/19.%20&#51473;&#44397;/&#9654;&#49892;&#51201;&#48372;&#44256;/2026&#45380;/7&#50900;/1)%20&#51473;&#44397;&#48277;&#51064;%20&#49892;&#51201;&#48372;&#44256;%20(26.0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.7월(브랜드별)"/>
      <sheetName val="#. YTD(브랜드별)"/>
      <sheetName val="#. 연간(브랜드별)"/>
      <sheetName val="1-1. MLB(당월)"/>
      <sheetName val="1-2.MLB(YTD)"/>
      <sheetName val="3.MLB(연간)"/>
      <sheetName val="#. 연간(MLB)"/>
      <sheetName val="#. 연간(KIDS)"/>
      <sheetName val="#. 연간(DX)"/>
      <sheetName val="#. 연간(DV)"/>
      <sheetName val="#. 연간(SP)"/>
      <sheetName val="#. 연간(ALL)"/>
      <sheetName val="1-1.KIDS(당월)"/>
      <sheetName val="1-2.KIDS(YTD)"/>
      <sheetName val="3.KIDS(연간)"/>
      <sheetName val="1.DX(당월)"/>
      <sheetName val="2.DX(YTD)"/>
      <sheetName val="3.DX(연간)"/>
      <sheetName val="1.DV(당월)"/>
      <sheetName val="2.DV(YTD)"/>
      <sheetName val="3.DV(연간)"/>
      <sheetName val="1.SP(당월)"/>
      <sheetName val="2.SP(YTD)"/>
      <sheetName val="3.SP(연간)"/>
      <sheetName val="MLB"/>
      <sheetName val="KIDS"/>
      <sheetName val="DX"/>
      <sheetName val="DV"/>
      <sheetName val="SP"/>
      <sheetName val="(no)HC"/>
      <sheetName val="본사출고율 변화"/>
      <sheetName val="환율"/>
      <sheetName val="PL-MLB"/>
      <sheetName val="PL-MLB (2)"/>
      <sheetName val="PL-KIDS"/>
      <sheetName val="PL-DX"/>
      <sheetName val="PL-DX (2)"/>
      <sheetName val="PL-DV"/>
      <sheetName val="PL-SUPRA"/>
      <sheetName val="25.07(당월)"/>
      <sheetName val="월중손익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6">
          <cell r="CL16">
            <v>6767.7731984829325</v>
          </cell>
          <cell r="CW16">
            <v>3374.0495120101127</v>
          </cell>
          <cell r="DH16">
            <v>16915.999260682675</v>
          </cell>
          <cell r="DS16">
            <v>16614.002844500632</v>
          </cell>
          <cell r="ED16">
            <v>16241.415929203542</v>
          </cell>
        </row>
      </sheetData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96AD-D710-45F7-8E3E-D0EB817C3B77}">
  <dimension ref="A1:U37"/>
  <sheetViews>
    <sheetView tabSelected="1" zoomScale="85" zoomScaleNormal="85" workbookViewId="0">
      <selection activeCell="N18" sqref="N18"/>
    </sheetView>
  </sheetViews>
  <sheetFormatPr defaultRowHeight="16.5" x14ac:dyDescent="0.3"/>
  <cols>
    <col min="1" max="1" width="23.75" customWidth="1"/>
    <col min="2" max="8" width="11.875" customWidth="1"/>
    <col min="9" max="11" width="13.25" bestFit="1" customWidth="1"/>
    <col min="12" max="13" width="11.875" customWidth="1"/>
    <col min="14" max="14" width="12.625" bestFit="1" customWidth="1"/>
    <col min="17" max="19" width="11.625" style="3" customWidth="1"/>
    <col min="20" max="21" width="11.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1" x14ac:dyDescent="0.3">
      <c r="A2" t="s">
        <v>13</v>
      </c>
      <c r="B2" s="1">
        <v>-247574</v>
      </c>
      <c r="C2" s="1">
        <v>286099</v>
      </c>
      <c r="D2" s="1">
        <v>-1550007</v>
      </c>
      <c r="E2" s="1">
        <v>12068838</v>
      </c>
      <c r="F2" s="1">
        <v>134554</v>
      </c>
      <c r="G2">
        <v>91409</v>
      </c>
      <c r="H2">
        <v>420872</v>
      </c>
      <c r="I2" s="11">
        <f>(I7-I5-I4)*(Q2/(Q2+Q3))</f>
        <v>813454.46091410203</v>
      </c>
      <c r="J2" s="11">
        <f t="shared" ref="J2:M2" si="0">(J7-J5-J4)*(R2/(R2+R3))</f>
        <v>233428.41846771981</v>
      </c>
      <c r="K2" s="11">
        <f t="shared" si="0"/>
        <v>3361.0130225291714</v>
      </c>
      <c r="L2" s="11">
        <f t="shared" si="0"/>
        <v>153.90203401823427</v>
      </c>
      <c r="M2" s="11">
        <f t="shared" si="0"/>
        <v>878.06330588007165</v>
      </c>
      <c r="N2" s="11" t="s">
        <v>51</v>
      </c>
      <c r="Q2" s="4">
        <v>907693</v>
      </c>
      <c r="R2" s="4">
        <v>332206</v>
      </c>
      <c r="S2" s="4">
        <v>93787</v>
      </c>
      <c r="T2" s="4">
        <v>3498</v>
      </c>
      <c r="U2" s="4">
        <v>105857</v>
      </c>
    </row>
    <row r="3" spans="1:21" x14ac:dyDescent="0.3">
      <c r="A3" t="s">
        <v>14</v>
      </c>
      <c r="B3" s="1">
        <v>2643260</v>
      </c>
      <c r="C3" s="1">
        <v>2816250</v>
      </c>
      <c r="D3" s="1">
        <v>-321210</v>
      </c>
      <c r="E3" s="1">
        <v>-12192740</v>
      </c>
      <c r="F3" s="1">
        <v>-7930040</v>
      </c>
      <c r="G3">
        <v>-3595930</v>
      </c>
      <c r="H3">
        <v>3696540</v>
      </c>
      <c r="I3" s="11">
        <f>+I7-I5-I4-I2</f>
        <v>14514831.616002612</v>
      </c>
      <c r="J3" s="11">
        <f t="shared" ref="J3:M3" si="1">+J7-J5-J4-J2</f>
        <v>5899601.3781906338</v>
      </c>
      <c r="K3" s="11">
        <f t="shared" si="1"/>
        <v>1566981.8073050843</v>
      </c>
      <c r="L3" s="11">
        <f t="shared" si="1"/>
        <v>1884594.9503737204</v>
      </c>
      <c r="M3" s="11">
        <f t="shared" si="1"/>
        <v>342105.92940571799</v>
      </c>
      <c r="N3" s="11" t="s">
        <v>51</v>
      </c>
      <c r="Q3" s="4">
        <v>16196372</v>
      </c>
      <c r="R3" s="4">
        <v>8396077</v>
      </c>
      <c r="S3" s="4">
        <v>43725663</v>
      </c>
      <c r="T3" s="4">
        <v>42834477</v>
      </c>
      <c r="U3" s="4">
        <v>41243390</v>
      </c>
    </row>
    <row r="4" spans="1:21" x14ac:dyDescent="0.3">
      <c r="A4" t="s">
        <v>15</v>
      </c>
      <c r="B4" s="1">
        <v>212802</v>
      </c>
      <c r="C4" s="1">
        <v>132915</v>
      </c>
      <c r="D4" s="1">
        <v>153116</v>
      </c>
      <c r="E4" s="1">
        <v>135665</v>
      </c>
      <c r="F4" s="1">
        <v>177414</v>
      </c>
      <c r="G4" s="1">
        <v>128103</v>
      </c>
      <c r="H4">
        <v>69141</v>
      </c>
      <c r="I4" s="11">
        <v>1181320</v>
      </c>
      <c r="J4" s="11">
        <v>1378814</v>
      </c>
      <c r="K4" s="11">
        <v>2753508</v>
      </c>
      <c r="L4" s="11">
        <v>1981306</v>
      </c>
      <c r="M4" s="11">
        <v>3213742</v>
      </c>
      <c r="N4" s="11" t="s">
        <v>46</v>
      </c>
      <c r="Q4" s="4">
        <v>1181320</v>
      </c>
      <c r="R4" s="4">
        <v>1378814</v>
      </c>
      <c r="S4" s="4">
        <v>2753508</v>
      </c>
      <c r="T4" s="4">
        <v>1981306</v>
      </c>
      <c r="U4" s="4">
        <v>3213742</v>
      </c>
    </row>
    <row r="5" spans="1:21" x14ac:dyDescent="0.3">
      <c r="A5" t="s">
        <v>16</v>
      </c>
      <c r="B5" s="1">
        <v>3857210</v>
      </c>
      <c r="C5" s="1">
        <v>1380220</v>
      </c>
      <c r="D5" s="1">
        <v>1550700</v>
      </c>
      <c r="E5" s="1">
        <v>1033590</v>
      </c>
      <c r="F5" s="1">
        <v>2636230</v>
      </c>
      <c r="G5" s="1">
        <v>1282740</v>
      </c>
      <c r="H5">
        <v>741680</v>
      </c>
      <c r="I5" s="11">
        <v>3449674</v>
      </c>
      <c r="J5" s="11">
        <v>3049367</v>
      </c>
      <c r="K5" s="11">
        <v>13104081</v>
      </c>
      <c r="L5" s="11">
        <v>4681347</v>
      </c>
      <c r="M5" s="11">
        <v>8697400</v>
      </c>
      <c r="N5" s="11" t="s">
        <v>46</v>
      </c>
      <c r="Q5" s="4">
        <v>3449674</v>
      </c>
      <c r="R5" s="4">
        <v>3049367</v>
      </c>
      <c r="S5" s="4">
        <v>13104081</v>
      </c>
      <c r="T5" s="4">
        <v>4681347</v>
      </c>
      <c r="U5" s="4">
        <v>8697400</v>
      </c>
    </row>
    <row r="6" spans="1:21" x14ac:dyDescent="0.3">
      <c r="I6" s="11"/>
      <c r="J6" s="11"/>
      <c r="K6" s="11"/>
      <c r="L6" s="11"/>
      <c r="M6" s="11"/>
      <c r="N6" s="11"/>
      <c r="T6" s="3"/>
      <c r="U6" s="3"/>
    </row>
    <row r="7" spans="1:21" x14ac:dyDescent="0.3">
      <c r="A7" t="s">
        <v>17</v>
      </c>
      <c r="B7" s="1">
        <v>6465698</v>
      </c>
      <c r="C7" s="1">
        <v>4615484</v>
      </c>
      <c r="D7" s="1">
        <v>-167401</v>
      </c>
      <c r="E7" s="1">
        <v>1045353</v>
      </c>
      <c r="F7" s="1">
        <v>-4981842</v>
      </c>
      <c r="G7" s="1">
        <v>-2093678</v>
      </c>
      <c r="H7" s="1">
        <v>4928233</v>
      </c>
      <c r="I7" s="12">
        <f>I8/(Q8/Q7)</f>
        <v>19959280.076916713</v>
      </c>
      <c r="J7" s="12">
        <f t="shared" ref="J7:M7" si="2">J8/(R8/R7)</f>
        <v>10561210.796658354</v>
      </c>
      <c r="K7" s="12">
        <f t="shared" si="2"/>
        <v>17427931.820327614</v>
      </c>
      <c r="L7" s="12">
        <f t="shared" si="2"/>
        <v>8547401.8524077386</v>
      </c>
      <c r="M7" s="12">
        <f t="shared" si="2"/>
        <v>12254125.992711598</v>
      </c>
      <c r="N7" s="11"/>
      <c r="Q7" s="4">
        <v>21735058</v>
      </c>
      <c r="R7" s="4">
        <v>13156463</v>
      </c>
      <c r="S7" s="4">
        <v>59677039</v>
      </c>
      <c r="T7" s="4">
        <v>49500628</v>
      </c>
      <c r="U7" s="4">
        <v>53260388</v>
      </c>
    </row>
    <row r="8" spans="1:21" s="8" customFormat="1" ht="17.25" x14ac:dyDescent="0.3">
      <c r="A8" s="8" t="s">
        <v>18</v>
      </c>
      <c r="B8" s="9">
        <v>4181867</v>
      </c>
      <c r="C8" s="9">
        <v>2269310</v>
      </c>
      <c r="D8" s="9">
        <v>504304</v>
      </c>
      <c r="E8" s="9">
        <v>885502</v>
      </c>
      <c r="F8" s="9">
        <v>-1369329</v>
      </c>
      <c r="G8" s="9">
        <v>-1109426</v>
      </c>
      <c r="H8" s="9">
        <v>2224043</v>
      </c>
      <c r="I8" s="13">
        <v>9245424.2460083012</v>
      </c>
      <c r="J8" s="13">
        <v>5514169.2407980477</v>
      </c>
      <c r="K8" s="13">
        <v>8443579.0708816182</v>
      </c>
      <c r="L8" s="13">
        <v>3766915.3231176632</v>
      </c>
      <c r="M8" s="13">
        <v>5732607.7170272935</v>
      </c>
      <c r="N8" s="14">
        <f>SUM(B8:M8)</f>
        <v>40288966.597832926</v>
      </c>
      <c r="Q8" s="10">
        <v>10067990</v>
      </c>
      <c r="R8" s="10">
        <v>6869190</v>
      </c>
      <c r="S8" s="10">
        <v>28912656</v>
      </c>
      <c r="T8" s="10">
        <v>21815363</v>
      </c>
      <c r="U8" s="10">
        <v>24915764</v>
      </c>
    </row>
    <row r="9" spans="1:21" x14ac:dyDescent="0.3">
      <c r="A9" t="s">
        <v>19</v>
      </c>
      <c r="B9" s="1">
        <v>2229765</v>
      </c>
      <c r="C9" s="1">
        <v>1642124</v>
      </c>
      <c r="D9" s="1">
        <v>-160481</v>
      </c>
      <c r="E9" s="1">
        <v>-246834</v>
      </c>
      <c r="F9" s="1">
        <v>-1817334</v>
      </c>
      <c r="G9" s="1">
        <v>-816876</v>
      </c>
      <c r="H9" s="1">
        <v>1727346</v>
      </c>
      <c r="I9" s="12">
        <f>Q9/Q$8*I$8</f>
        <v>5841396.708164081</v>
      </c>
      <c r="J9" s="12">
        <f t="shared" ref="J9:L9" si="3">R9/R$8*J$8</f>
        <v>3229531.2563906042</v>
      </c>
      <c r="K9" s="12">
        <f t="shared" si="3"/>
        <v>5302108.5829472253</v>
      </c>
      <c r="L9" s="12">
        <f t="shared" si="3"/>
        <v>2548441.4923206288</v>
      </c>
      <c r="M9" s="12">
        <f>U9/U$8*M$8</f>
        <v>3594362.748259075</v>
      </c>
      <c r="N9" s="15" t="s">
        <v>44</v>
      </c>
      <c r="Q9" s="4">
        <v>6361106</v>
      </c>
      <c r="R9" s="4">
        <v>4023138</v>
      </c>
      <c r="S9" s="4">
        <v>18155576</v>
      </c>
      <c r="T9" s="4">
        <v>14758807</v>
      </c>
      <c r="U9" s="4">
        <v>15622261</v>
      </c>
    </row>
    <row r="10" spans="1:21" x14ac:dyDescent="0.3">
      <c r="A10" t="s">
        <v>20</v>
      </c>
      <c r="B10" s="1">
        <v>5789303</v>
      </c>
      <c r="C10" s="1">
        <v>5624743</v>
      </c>
      <c r="D10" s="1">
        <v>5596718</v>
      </c>
      <c r="E10" s="1">
        <v>-416574</v>
      </c>
      <c r="F10" s="1">
        <v>-422958</v>
      </c>
      <c r="G10" s="1">
        <v>-730145</v>
      </c>
      <c r="H10" s="1">
        <v>4773716</v>
      </c>
      <c r="I10" s="11">
        <f>I12+I11</f>
        <v>4475148.5266653597</v>
      </c>
      <c r="J10" s="11">
        <f t="shared" ref="J10:M10" si="4">J12+J11</f>
        <v>4360577.828928397</v>
      </c>
      <c r="K10" s="11">
        <f t="shared" si="4"/>
        <v>-283458.29067092034</v>
      </c>
      <c r="L10" s="11">
        <f t="shared" si="4"/>
        <v>-102233.22682580785</v>
      </c>
      <c r="M10" s="11">
        <f t="shared" si="4"/>
        <v>-250161.35101395525</v>
      </c>
      <c r="N10" s="11"/>
      <c r="Q10" s="4">
        <v>4451691</v>
      </c>
      <c r="R10" s="4">
        <v>4276660</v>
      </c>
      <c r="S10" s="4">
        <v>-970623</v>
      </c>
      <c r="T10" s="4">
        <v>-592064</v>
      </c>
      <c r="U10" s="4">
        <v>-1087282</v>
      </c>
    </row>
    <row r="11" spans="1:21" x14ac:dyDescent="0.3">
      <c r="A11" t="s">
        <v>21</v>
      </c>
      <c r="B11" s="1">
        <v>5834400</v>
      </c>
      <c r="C11" s="1">
        <v>5661359</v>
      </c>
      <c r="D11" s="1">
        <v>5686785</v>
      </c>
      <c r="E11" s="1">
        <v>-95973</v>
      </c>
      <c r="F11" s="1">
        <v>-27266</v>
      </c>
      <c r="G11" s="1">
        <v>-328391</v>
      </c>
      <c r="H11" s="1">
        <v>4765194</v>
      </c>
      <c r="I11" s="11">
        <f>+Q11</f>
        <v>4738805</v>
      </c>
      <c r="J11" s="11">
        <f>+R11</f>
        <v>4702076</v>
      </c>
      <c r="K11" s="11"/>
      <c r="L11" s="11"/>
      <c r="M11" s="11"/>
      <c r="N11" s="11" t="s">
        <v>46</v>
      </c>
      <c r="Q11" s="4">
        <v>4738805</v>
      </c>
      <c r="R11" s="4">
        <v>4702076</v>
      </c>
      <c r="S11" s="3">
        <v>0</v>
      </c>
      <c r="T11" s="3">
        <v>0</v>
      </c>
      <c r="U11" s="3">
        <v>0</v>
      </c>
    </row>
    <row r="12" spans="1:21" x14ac:dyDescent="0.3">
      <c r="A12" t="s">
        <v>22</v>
      </c>
      <c r="B12" s="1">
        <v>-45097</v>
      </c>
      <c r="C12" s="1">
        <v>-36616</v>
      </c>
      <c r="D12" s="1">
        <v>-90067</v>
      </c>
      <c r="E12" s="1">
        <v>-320601</v>
      </c>
      <c r="F12" s="1">
        <v>-395692</v>
      </c>
      <c r="G12" s="1">
        <v>-401754</v>
      </c>
      <c r="H12" s="1">
        <v>8522</v>
      </c>
      <c r="I12" s="11">
        <f t="shared" ref="I12:L12" si="5">Q12/Q$8*I$8</f>
        <v>-263656.47333464056</v>
      </c>
      <c r="J12" s="11">
        <f t="shared" si="5"/>
        <v>-341498.17107160267</v>
      </c>
      <c r="K12" s="11">
        <f t="shared" si="5"/>
        <v>-283458.29067092034</v>
      </c>
      <c r="L12" s="11">
        <f t="shared" si="5"/>
        <v>-102233.22682580785</v>
      </c>
      <c r="M12" s="11">
        <f>U12/U$8*M$8</f>
        <v>-250161.35101395525</v>
      </c>
      <c r="N12" s="15" t="s">
        <v>44</v>
      </c>
      <c r="Q12" s="4">
        <v>-287114</v>
      </c>
      <c r="R12" s="4">
        <v>-425416</v>
      </c>
      <c r="S12" s="4">
        <v>-970623</v>
      </c>
      <c r="T12" s="4">
        <v>-592064</v>
      </c>
      <c r="U12" s="4">
        <v>-1087282</v>
      </c>
    </row>
    <row r="13" spans="1:21" s="5" customFormat="1" x14ac:dyDescent="0.3">
      <c r="A13" s="5" t="s">
        <v>23</v>
      </c>
      <c r="B13" s="6">
        <v>185102</v>
      </c>
      <c r="C13" s="6">
        <v>201900</v>
      </c>
      <c r="D13" s="6">
        <v>169365</v>
      </c>
      <c r="E13" s="6">
        <v>30699</v>
      </c>
      <c r="F13" s="6">
        <v>106889</v>
      </c>
      <c r="G13" s="6">
        <v>106776</v>
      </c>
      <c r="H13" s="6">
        <v>98461</v>
      </c>
      <c r="I13" s="15">
        <f>IF((Q13/Q$8*I$8)&lt;$F$13,$F$13,(Q13/Q$8*I$8))</f>
        <v>106889</v>
      </c>
      <c r="J13" s="15">
        <f t="shared" ref="J13:M13" si="6">IF((R13/R$8*J$8)&lt;$F$13,$F$13,(R13/R$8*J$8))</f>
        <v>162006.45107649369</v>
      </c>
      <c r="K13" s="15">
        <f t="shared" si="6"/>
        <v>106889</v>
      </c>
      <c r="L13" s="15">
        <f t="shared" si="6"/>
        <v>106889</v>
      </c>
      <c r="M13" s="15">
        <f t="shared" si="6"/>
        <v>106889</v>
      </c>
      <c r="N13" s="15" t="s">
        <v>47</v>
      </c>
      <c r="Q13" s="6">
        <v>115510</v>
      </c>
      <c r="R13" s="6">
        <v>201817</v>
      </c>
      <c r="S13" s="6">
        <v>238527</v>
      </c>
      <c r="T13" s="6">
        <v>176120</v>
      </c>
      <c r="U13" s="6">
        <v>254781</v>
      </c>
    </row>
    <row r="14" spans="1:21" s="5" customFormat="1" x14ac:dyDescent="0.3">
      <c r="A14" s="5" t="s">
        <v>24</v>
      </c>
      <c r="B14" s="6">
        <v>91550</v>
      </c>
      <c r="C14" s="6">
        <v>83272</v>
      </c>
      <c r="D14" s="6">
        <v>87050</v>
      </c>
      <c r="E14" s="6">
        <v>85553</v>
      </c>
      <c r="F14" s="6">
        <v>55349</v>
      </c>
      <c r="G14" s="6">
        <v>75400</v>
      </c>
      <c r="H14" s="6">
        <v>58219</v>
      </c>
      <c r="I14" s="15">
        <f>Q14</f>
        <v>72581</v>
      </c>
      <c r="J14" s="15">
        <f t="shared" ref="J14:M14" si="7">R14</f>
        <v>103316</v>
      </c>
      <c r="K14" s="15">
        <f t="shared" si="7"/>
        <v>124402</v>
      </c>
      <c r="L14" s="15">
        <f t="shared" si="7"/>
        <v>103316</v>
      </c>
      <c r="M14" s="15">
        <f t="shared" si="7"/>
        <v>158081</v>
      </c>
      <c r="N14" s="15" t="s">
        <v>45</v>
      </c>
      <c r="Q14" s="6">
        <v>72581</v>
      </c>
      <c r="R14" s="6">
        <v>103316</v>
      </c>
      <c r="S14" s="6">
        <v>124402</v>
      </c>
      <c r="T14" s="6">
        <v>103316</v>
      </c>
      <c r="U14" s="6">
        <v>158081</v>
      </c>
    </row>
    <row r="15" spans="1:21" s="5" customFormat="1" x14ac:dyDescent="0.3">
      <c r="A15" s="5" t="s">
        <v>25</v>
      </c>
      <c r="B15" s="6">
        <v>148703</v>
      </c>
      <c r="C15" s="6">
        <v>65682</v>
      </c>
      <c r="D15" s="6">
        <v>60052</v>
      </c>
      <c r="E15" s="6">
        <v>50960</v>
      </c>
      <c r="F15" s="6">
        <v>88961</v>
      </c>
      <c r="G15" s="6">
        <v>79269</v>
      </c>
      <c r="H15" s="6">
        <v>31073</v>
      </c>
      <c r="I15" s="15">
        <f>Q15/Q$8*I$8</f>
        <v>126644.43931862238</v>
      </c>
      <c r="J15" s="15">
        <f t="shared" ref="J15" si="8">R15/R$8*J$8</f>
        <v>184246.3452730889</v>
      </c>
      <c r="K15" s="15">
        <f t="shared" ref="K15" si="9">S15/S$8*K$8</f>
        <v>143880.73143687955</v>
      </c>
      <c r="L15" s="15">
        <f t="shared" ref="L15" si="10">T15/T$8*L$8</f>
        <v>118133.09197441883</v>
      </c>
      <c r="M15" s="15">
        <f>U15/U$8*M$8</f>
        <v>169575.29911877916</v>
      </c>
      <c r="N15" s="15" t="s">
        <v>44</v>
      </c>
      <c r="Q15" s="6">
        <v>137912</v>
      </c>
      <c r="R15" s="6">
        <v>229522</v>
      </c>
      <c r="S15" s="6">
        <v>492679</v>
      </c>
      <c r="T15" s="6">
        <v>684145</v>
      </c>
      <c r="U15" s="6">
        <v>737029</v>
      </c>
    </row>
    <row r="16" spans="1:21" s="5" customFormat="1" x14ac:dyDescent="0.3">
      <c r="A16" s="5" t="s">
        <v>26</v>
      </c>
      <c r="B16" s="6">
        <v>402787</v>
      </c>
      <c r="C16" s="6">
        <v>281601</v>
      </c>
      <c r="D16" s="6">
        <v>177380</v>
      </c>
      <c r="E16" s="6">
        <v>165129</v>
      </c>
      <c r="F16" s="6">
        <v>212486</v>
      </c>
      <c r="G16" s="6">
        <v>204705</v>
      </c>
      <c r="H16" s="6">
        <v>134718</v>
      </c>
      <c r="I16" s="15">
        <f>Q16/Q$8*I$8</f>
        <v>384002.30042744911</v>
      </c>
      <c r="J16" s="15">
        <f t="shared" ref="J16" si="11">R16/R$8*J$8</f>
        <v>395522.53055295476</v>
      </c>
      <c r="K16" s="15">
        <f t="shared" ref="K16" si="12">S16/S$8*K$8</f>
        <v>202038.53451352255</v>
      </c>
      <c r="L16" s="15">
        <f t="shared" ref="L16" si="13">T16/T$8*L$8</f>
        <v>194976.7132183302</v>
      </c>
      <c r="M16" s="15">
        <f>U16/U$8*M$8</f>
        <v>165560.8711667929</v>
      </c>
      <c r="N16" s="15" t="s">
        <v>44</v>
      </c>
      <c r="Q16" s="6">
        <v>418167</v>
      </c>
      <c r="R16" s="6">
        <v>492716</v>
      </c>
      <c r="S16" s="6">
        <v>691824</v>
      </c>
      <c r="T16" s="6">
        <v>1129170</v>
      </c>
      <c r="U16" s="6">
        <v>719581</v>
      </c>
    </row>
    <row r="17" spans="1:21" s="5" customFormat="1" x14ac:dyDescent="0.3">
      <c r="A17" s="5" t="s">
        <v>27</v>
      </c>
      <c r="B17" s="6">
        <v>507997</v>
      </c>
      <c r="C17" s="6">
        <v>224632</v>
      </c>
      <c r="D17" s="6">
        <v>268688</v>
      </c>
      <c r="E17" s="6">
        <v>238700</v>
      </c>
      <c r="F17" s="6">
        <v>335213</v>
      </c>
      <c r="G17" s="6">
        <v>222688</v>
      </c>
      <c r="H17" s="6">
        <v>93868</v>
      </c>
      <c r="I17" s="15">
        <f>Q17</f>
        <v>904914</v>
      </c>
      <c r="J17" s="15">
        <f t="shared" ref="J17:M17" si="14">R17</f>
        <v>606508</v>
      </c>
      <c r="K17" s="15">
        <f t="shared" si="14"/>
        <v>2662586</v>
      </c>
      <c r="L17" s="15">
        <f t="shared" si="14"/>
        <v>692495</v>
      </c>
      <c r="M17" s="15">
        <f t="shared" si="14"/>
        <v>1181567</v>
      </c>
      <c r="N17" s="15" t="s">
        <v>46</v>
      </c>
      <c r="Q17" s="6">
        <v>904914</v>
      </c>
      <c r="R17" s="6">
        <v>606508</v>
      </c>
      <c r="S17" s="6">
        <v>2662586</v>
      </c>
      <c r="T17" s="6">
        <v>692495</v>
      </c>
      <c r="U17" s="6">
        <v>1181567</v>
      </c>
    </row>
    <row r="18" spans="1:21" s="5" customFormat="1" x14ac:dyDescent="0.3">
      <c r="A18" s="5" t="s">
        <v>28</v>
      </c>
      <c r="B18" s="6">
        <v>229553</v>
      </c>
      <c r="C18" s="6">
        <v>243589</v>
      </c>
      <c r="D18" s="6">
        <v>26408</v>
      </c>
      <c r="E18" s="6">
        <v>41038</v>
      </c>
      <c r="F18" s="5">
        <v>0</v>
      </c>
      <c r="G18" s="5">
        <v>0</v>
      </c>
      <c r="H18" s="6">
        <v>323325</v>
      </c>
      <c r="I18" s="15">
        <f>I35*I37</f>
        <v>1374900.0513663646</v>
      </c>
      <c r="J18" s="15">
        <f t="shared" ref="J18:M18" si="15">J35*J37</f>
        <v>691054.00932151626</v>
      </c>
      <c r="K18" s="15">
        <f t="shared" si="15"/>
        <v>336850.90210722998</v>
      </c>
      <c r="L18" s="15">
        <f t="shared" si="15"/>
        <v>274519.88488600921</v>
      </c>
      <c r="M18" s="15">
        <f t="shared" si="15"/>
        <v>197418.62230286381</v>
      </c>
      <c r="N18" s="15" t="s">
        <v>43</v>
      </c>
      <c r="Q18" s="6">
        <v>1374900</v>
      </c>
      <c r="R18" s="6">
        <v>691054</v>
      </c>
      <c r="S18" s="6">
        <v>3466303</v>
      </c>
      <c r="T18" s="6">
        <v>3398872</v>
      </c>
      <c r="U18" s="6">
        <v>3307938</v>
      </c>
    </row>
    <row r="19" spans="1:21" s="5" customFormat="1" x14ac:dyDescent="0.3">
      <c r="A19" s="5" t="s">
        <v>29</v>
      </c>
      <c r="B19" s="6">
        <v>411642</v>
      </c>
      <c r="C19" s="6">
        <v>284003</v>
      </c>
      <c r="D19" s="6">
        <v>378231</v>
      </c>
      <c r="E19" s="6">
        <v>365652</v>
      </c>
      <c r="F19" s="6">
        <v>282231</v>
      </c>
      <c r="G19" s="6">
        <v>231300</v>
      </c>
      <c r="H19" s="6">
        <v>237889</v>
      </c>
      <c r="I19" s="15">
        <f>Q19/Q$8*I$8</f>
        <v>392451.56870120805</v>
      </c>
      <c r="J19" s="15">
        <f t="shared" ref="J19" si="16">R19/R$8*J$8</f>
        <v>275602.90181298117</v>
      </c>
      <c r="K19" s="15">
        <f t="shared" ref="K19" si="17">S19/S$8*K$8</f>
        <v>474787.2268795562</v>
      </c>
      <c r="L19" s="15">
        <f t="shared" ref="L19" si="18">T19/T$8*L$8</f>
        <v>208925.89607000849</v>
      </c>
      <c r="M19" s="15">
        <f>U19/U$8*M$8</f>
        <v>318283.7637191356</v>
      </c>
      <c r="N19" s="15" t="s">
        <v>44</v>
      </c>
      <c r="Q19" s="6">
        <v>427368</v>
      </c>
      <c r="R19" s="6">
        <v>343328</v>
      </c>
      <c r="S19" s="6">
        <v>1625775</v>
      </c>
      <c r="T19" s="6">
        <v>1209954</v>
      </c>
      <c r="U19" s="6">
        <v>1383364</v>
      </c>
    </row>
    <row r="20" spans="1:21" s="5" customFormat="1" x14ac:dyDescent="0.3">
      <c r="A20" s="5" t="s">
        <v>30</v>
      </c>
      <c r="B20" s="6">
        <v>636271</v>
      </c>
      <c r="C20" s="6">
        <v>634945</v>
      </c>
      <c r="D20" s="6">
        <v>641644</v>
      </c>
      <c r="E20" s="6">
        <v>540606</v>
      </c>
      <c r="F20" s="6">
        <v>534403</v>
      </c>
      <c r="G20" s="6">
        <v>532432</v>
      </c>
      <c r="H20" s="6">
        <v>532456</v>
      </c>
      <c r="I20" s="15">
        <f>+Q20</f>
        <v>533213</v>
      </c>
      <c r="J20" s="15">
        <f>I20</f>
        <v>533213</v>
      </c>
      <c r="K20" s="15">
        <f t="shared" ref="K20:M20" si="19">J20</f>
        <v>533213</v>
      </c>
      <c r="L20" s="15">
        <f t="shared" si="19"/>
        <v>533213</v>
      </c>
      <c r="M20" s="15">
        <f t="shared" si="19"/>
        <v>533213</v>
      </c>
      <c r="N20" s="15" t="s">
        <v>48</v>
      </c>
      <c r="O20" s="5" t="s">
        <v>50</v>
      </c>
      <c r="Q20" s="6">
        <v>533213</v>
      </c>
      <c r="R20" s="6">
        <v>829368</v>
      </c>
      <c r="S20" s="6">
        <v>829368</v>
      </c>
      <c r="T20" s="6">
        <v>835374</v>
      </c>
      <c r="U20" s="6">
        <v>938353</v>
      </c>
    </row>
    <row r="21" spans="1:21" s="5" customFormat="1" x14ac:dyDescent="0.3">
      <c r="A21" s="5" t="s">
        <v>31</v>
      </c>
      <c r="B21" s="6">
        <v>82617</v>
      </c>
      <c r="C21" s="6">
        <v>82617</v>
      </c>
      <c r="D21" s="6">
        <v>82617</v>
      </c>
      <c r="E21" s="6">
        <v>63126</v>
      </c>
      <c r="F21" s="6">
        <v>63126</v>
      </c>
      <c r="G21" s="6">
        <v>63126</v>
      </c>
      <c r="H21" s="6">
        <v>63126</v>
      </c>
      <c r="I21" s="15">
        <f>+Q21</f>
        <v>63126</v>
      </c>
      <c r="J21" s="15">
        <f>I21</f>
        <v>63126</v>
      </c>
      <c r="K21" s="15">
        <f t="shared" ref="K21:M21" si="20">J21</f>
        <v>63126</v>
      </c>
      <c r="L21" s="15">
        <f t="shared" si="20"/>
        <v>63126</v>
      </c>
      <c r="M21" s="15">
        <f t="shared" si="20"/>
        <v>63126</v>
      </c>
      <c r="N21" s="15" t="s">
        <v>49</v>
      </c>
      <c r="O21" s="5" t="s">
        <v>50</v>
      </c>
      <c r="Q21" s="6">
        <v>63126</v>
      </c>
      <c r="R21" s="6">
        <v>99038</v>
      </c>
      <c r="S21" s="6">
        <v>99038</v>
      </c>
      <c r="T21" s="6">
        <v>99038</v>
      </c>
      <c r="U21" s="6">
        <v>141538</v>
      </c>
    </row>
    <row r="22" spans="1:21" s="5" customFormat="1" x14ac:dyDescent="0.3">
      <c r="A22" s="5" t="s">
        <v>32</v>
      </c>
      <c r="B22" s="6">
        <v>106653</v>
      </c>
      <c r="C22" s="6">
        <v>7476</v>
      </c>
      <c r="D22" s="6">
        <v>70465</v>
      </c>
      <c r="E22" s="6">
        <v>275960</v>
      </c>
      <c r="F22" s="6">
        <v>72668</v>
      </c>
      <c r="G22" s="6">
        <v>93511</v>
      </c>
      <c r="H22" s="6">
        <v>80922</v>
      </c>
      <c r="I22" s="15">
        <f>Q22/Q$8*I$8</f>
        <v>58704.094439364031</v>
      </c>
      <c r="J22" s="15">
        <f t="shared" ref="J22" si="21">R22/R$8*J$8</f>
        <v>242531.64532096422</v>
      </c>
      <c r="K22" s="15">
        <f t="shared" ref="K22" si="22">S22/S$8*K$8</f>
        <v>58286.007528427588</v>
      </c>
      <c r="L22" s="15">
        <f t="shared" ref="L22" si="23">T22/T$8*L$8</f>
        <v>42381.970234153843</v>
      </c>
      <c r="M22" s="15">
        <f>U22/U$8*M$8</f>
        <v>64372.806312841996</v>
      </c>
      <c r="N22" s="15" t="s">
        <v>44</v>
      </c>
      <c r="Q22" s="6">
        <v>63927</v>
      </c>
      <c r="R22" s="6">
        <v>302130</v>
      </c>
      <c r="S22" s="6">
        <v>199584</v>
      </c>
      <c r="T22" s="6">
        <v>245447</v>
      </c>
      <c r="U22" s="6">
        <v>279785</v>
      </c>
    </row>
    <row r="23" spans="1:21" x14ac:dyDescent="0.3">
      <c r="A23" t="s">
        <v>33</v>
      </c>
      <c r="B23" s="1">
        <v>1211325</v>
      </c>
      <c r="C23" s="1">
        <v>1825802</v>
      </c>
      <c r="D23" s="1">
        <v>469675</v>
      </c>
      <c r="E23" s="1">
        <v>1312779</v>
      </c>
      <c r="F23" s="1">
        <v>1281213</v>
      </c>
      <c r="G23" s="1">
        <v>1137050</v>
      </c>
      <c r="H23" s="1">
        <v>1103903</v>
      </c>
      <c r="I23" s="11">
        <f>Q23</f>
        <v>1172254</v>
      </c>
      <c r="J23" s="11">
        <f t="shared" ref="J23:J31" si="24">R23</f>
        <v>1225077</v>
      </c>
      <c r="K23" s="11">
        <f t="shared" ref="K23:K31" si="25">S23</f>
        <v>1198561</v>
      </c>
      <c r="L23" s="11">
        <f t="shared" ref="L23:L31" si="26">T23</f>
        <v>1197607</v>
      </c>
      <c r="M23" s="11">
        <f t="shared" ref="M23:M31" si="27">U23</f>
        <v>1105929</v>
      </c>
      <c r="N23" s="11"/>
      <c r="Q23" s="4">
        <v>1172254</v>
      </c>
      <c r="R23" s="4">
        <v>1225077</v>
      </c>
      <c r="S23" s="4">
        <v>1198561</v>
      </c>
      <c r="T23" s="4">
        <v>1197607</v>
      </c>
      <c r="U23" s="4">
        <v>1105929</v>
      </c>
    </row>
    <row r="24" spans="1:21" x14ac:dyDescent="0.3">
      <c r="A24" t="s">
        <v>34</v>
      </c>
      <c r="B24" s="1">
        <v>350571</v>
      </c>
      <c r="C24" s="1">
        <v>375391</v>
      </c>
      <c r="D24" s="1">
        <v>370733</v>
      </c>
      <c r="E24" s="1">
        <v>369704</v>
      </c>
      <c r="F24" s="1">
        <v>318706</v>
      </c>
      <c r="G24" s="1">
        <v>297634</v>
      </c>
      <c r="H24" s="1">
        <v>331282</v>
      </c>
      <c r="I24" s="11">
        <f t="shared" ref="I24:I31" si="28">Q24</f>
        <v>304928</v>
      </c>
      <c r="J24" s="11">
        <f t="shared" si="24"/>
        <v>314710</v>
      </c>
      <c r="K24" s="11">
        <f t="shared" si="25"/>
        <v>322110</v>
      </c>
      <c r="L24" s="11">
        <f t="shared" si="26"/>
        <v>305510</v>
      </c>
      <c r="M24" s="11">
        <f t="shared" si="27"/>
        <v>315980</v>
      </c>
      <c r="N24" s="11"/>
      <c r="Q24" s="4">
        <v>304928</v>
      </c>
      <c r="R24" s="4">
        <v>314710</v>
      </c>
      <c r="S24" s="4">
        <v>322110</v>
      </c>
      <c r="T24" s="4">
        <v>305510</v>
      </c>
      <c r="U24" s="4">
        <v>315980</v>
      </c>
    </row>
    <row r="25" spans="1:21" x14ac:dyDescent="0.3">
      <c r="A25" t="s">
        <v>35</v>
      </c>
      <c r="B25" s="1">
        <v>2604835</v>
      </c>
      <c r="C25" s="1">
        <v>2257633</v>
      </c>
      <c r="D25" s="1">
        <v>2995034</v>
      </c>
      <c r="E25" s="1">
        <v>4337012</v>
      </c>
      <c r="F25" s="1">
        <v>3670155</v>
      </c>
      <c r="G25" s="1">
        <v>5049790</v>
      </c>
      <c r="H25" s="1">
        <v>2366591</v>
      </c>
      <c r="I25" s="11">
        <f t="shared" si="28"/>
        <v>4025999</v>
      </c>
      <c r="J25" s="11">
        <f t="shared" si="24"/>
        <v>3084999</v>
      </c>
      <c r="K25" s="11">
        <f t="shared" si="25"/>
        <v>4073264</v>
      </c>
      <c r="L25" s="11">
        <f t="shared" si="26"/>
        <v>3835569</v>
      </c>
      <c r="M25" s="11">
        <f t="shared" si="27"/>
        <v>3634595</v>
      </c>
      <c r="N25" s="11"/>
      <c r="Q25" s="4">
        <v>4025999</v>
      </c>
      <c r="R25" s="4">
        <v>3084999</v>
      </c>
      <c r="S25" s="4">
        <v>4073264</v>
      </c>
      <c r="T25" s="4">
        <v>3835569</v>
      </c>
      <c r="U25" s="4">
        <v>3634595</v>
      </c>
    </row>
    <row r="26" spans="1:21" x14ac:dyDescent="0.3">
      <c r="A26" t="s">
        <v>36</v>
      </c>
      <c r="B26">
        <v>0</v>
      </c>
      <c r="C26">
        <v>0</v>
      </c>
      <c r="D26" s="1">
        <v>300000</v>
      </c>
      <c r="E26">
        <v>0</v>
      </c>
      <c r="F26">
        <v>0</v>
      </c>
      <c r="G26">
        <v>0</v>
      </c>
      <c r="H26">
        <v>513584.09</v>
      </c>
      <c r="I26" s="11">
        <f t="shared" si="28"/>
        <v>0</v>
      </c>
      <c r="J26" s="11">
        <f t="shared" si="24"/>
        <v>0</v>
      </c>
      <c r="K26" s="11">
        <f t="shared" si="25"/>
        <v>0</v>
      </c>
      <c r="L26" s="11">
        <f t="shared" si="26"/>
        <v>0</v>
      </c>
      <c r="M26" s="11">
        <f t="shared" si="27"/>
        <v>0</v>
      </c>
      <c r="N26" s="11"/>
      <c r="Q26" s="3">
        <v>0</v>
      </c>
      <c r="R26" s="3">
        <v>0</v>
      </c>
      <c r="S26" s="3">
        <v>0</v>
      </c>
      <c r="T26" s="3">
        <v>0</v>
      </c>
      <c r="U26" s="3">
        <v>0</v>
      </c>
    </row>
    <row r="27" spans="1:21" x14ac:dyDescent="0.3">
      <c r="A27" t="s">
        <v>37</v>
      </c>
      <c r="B27" s="1">
        <v>66878</v>
      </c>
      <c r="C27" s="1">
        <v>8200</v>
      </c>
      <c r="D27" s="1">
        <v>89250</v>
      </c>
      <c r="E27" s="1">
        <v>146950</v>
      </c>
      <c r="F27" s="1">
        <v>235200</v>
      </c>
      <c r="G27" s="1">
        <v>42760</v>
      </c>
      <c r="H27" s="1">
        <v>16140</v>
      </c>
      <c r="I27" s="11">
        <f t="shared" si="28"/>
        <v>245100</v>
      </c>
      <c r="J27" s="11">
        <f t="shared" si="24"/>
        <v>170500</v>
      </c>
      <c r="K27" s="11">
        <f t="shared" si="25"/>
        <v>70000</v>
      </c>
      <c r="L27" s="11">
        <f t="shared" si="26"/>
        <v>240000</v>
      </c>
      <c r="M27" s="11">
        <f t="shared" si="27"/>
        <v>130600</v>
      </c>
      <c r="N27" s="11"/>
      <c r="Q27" s="4">
        <v>245100</v>
      </c>
      <c r="R27" s="4">
        <v>170500</v>
      </c>
      <c r="S27" s="4">
        <v>70000</v>
      </c>
      <c r="T27" s="4">
        <v>240000</v>
      </c>
      <c r="U27" s="4">
        <v>130600</v>
      </c>
    </row>
    <row r="28" spans="1:21" x14ac:dyDescent="0.3">
      <c r="A28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11">
        <f t="shared" si="28"/>
        <v>0</v>
      </c>
      <c r="J28" s="11">
        <f t="shared" si="24"/>
        <v>0</v>
      </c>
      <c r="K28" s="11">
        <f t="shared" si="25"/>
        <v>0</v>
      </c>
      <c r="L28" s="11">
        <f t="shared" si="26"/>
        <v>0</v>
      </c>
      <c r="M28" s="11">
        <f t="shared" si="27"/>
        <v>0</v>
      </c>
      <c r="N28" s="11"/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1:21" x14ac:dyDescent="0.3">
      <c r="A29" t="s">
        <v>39</v>
      </c>
      <c r="B29" s="2">
        <v>6031.88</v>
      </c>
      <c r="C29" s="2">
        <v>6043.08</v>
      </c>
      <c r="D29">
        <v>5900.74</v>
      </c>
      <c r="E29">
        <v>6235.79</v>
      </c>
      <c r="F29">
        <v>5867.46</v>
      </c>
      <c r="G29">
        <v>5867.41</v>
      </c>
      <c r="H29">
        <v>6344.58</v>
      </c>
      <c r="I29" s="11">
        <f t="shared" si="28"/>
        <v>6557.1602220000004</v>
      </c>
      <c r="J29" s="11">
        <f t="shared" si="24"/>
        <v>6341.5752220000004</v>
      </c>
      <c r="K29" s="11">
        <f t="shared" si="25"/>
        <v>6341.5752220000004</v>
      </c>
      <c r="L29" s="11">
        <f t="shared" si="26"/>
        <v>6341.5752220000004</v>
      </c>
      <c r="M29" s="11">
        <f t="shared" si="27"/>
        <v>6341.5752220000004</v>
      </c>
      <c r="N29" s="11"/>
      <c r="Q29" s="3">
        <v>6557.1602220000004</v>
      </c>
      <c r="R29" s="3">
        <v>6341.5752220000004</v>
      </c>
      <c r="S29" s="3">
        <v>6341.5752220000004</v>
      </c>
      <c r="T29" s="3">
        <v>6341.5752220000004</v>
      </c>
      <c r="U29" s="3">
        <v>6341.5752220000004</v>
      </c>
    </row>
    <row r="30" spans="1:21" x14ac:dyDescent="0.3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11">
        <f t="shared" si="28"/>
        <v>0</v>
      </c>
      <c r="J30" s="11">
        <f t="shared" si="24"/>
        <v>0</v>
      </c>
      <c r="K30" s="11">
        <f t="shared" si="25"/>
        <v>0</v>
      </c>
      <c r="L30" s="11">
        <f t="shared" si="26"/>
        <v>0</v>
      </c>
      <c r="M30" s="11">
        <f t="shared" si="27"/>
        <v>0</v>
      </c>
      <c r="N30" s="11"/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1:21" x14ac:dyDescent="0.3">
      <c r="A31" t="s">
        <v>41</v>
      </c>
      <c r="B31" s="1">
        <v>47355</v>
      </c>
      <c r="C31" s="1">
        <v>87669</v>
      </c>
      <c r="D31" s="1">
        <v>20582</v>
      </c>
      <c r="E31" s="1">
        <v>49237</v>
      </c>
      <c r="F31" s="1">
        <v>37205</v>
      </c>
      <c r="G31" s="1">
        <v>84844</v>
      </c>
      <c r="H31" s="1">
        <v>30462</v>
      </c>
      <c r="I31" s="11">
        <f t="shared" si="28"/>
        <v>45596</v>
      </c>
      <c r="J31" s="11">
        <f t="shared" si="24"/>
        <v>223130</v>
      </c>
      <c r="K31" s="11">
        <f t="shared" si="25"/>
        <v>66197</v>
      </c>
      <c r="L31" s="11">
        <f t="shared" si="26"/>
        <v>55847</v>
      </c>
      <c r="M31" s="11">
        <f t="shared" si="27"/>
        <v>54366</v>
      </c>
      <c r="N31" s="11"/>
      <c r="Q31" s="4">
        <v>45596</v>
      </c>
      <c r="R31" s="4">
        <v>223130</v>
      </c>
      <c r="S31" s="4">
        <v>66197</v>
      </c>
      <c r="T31" s="4">
        <v>55847</v>
      </c>
      <c r="U31" s="4">
        <v>54366</v>
      </c>
    </row>
    <row r="32" spans="1:21" x14ac:dyDescent="0.3">
      <c r="I32" s="11"/>
      <c r="J32" s="11"/>
      <c r="K32" s="11"/>
      <c r="L32" s="11"/>
      <c r="M32" s="11"/>
      <c r="N32" s="11"/>
      <c r="T32" s="3"/>
      <c r="U32" s="3"/>
    </row>
    <row r="33" spans="1:21" x14ac:dyDescent="0.3">
      <c r="B33">
        <v>0</v>
      </c>
      <c r="C33">
        <v>0</v>
      </c>
      <c r="D33">
        <v>0</v>
      </c>
      <c r="E33">
        <v>0</v>
      </c>
      <c r="G33">
        <v>0</v>
      </c>
      <c r="H33">
        <v>0</v>
      </c>
      <c r="I33" s="11"/>
      <c r="J33" s="11"/>
      <c r="K33" s="11"/>
      <c r="L33" s="11"/>
      <c r="M33" s="11"/>
      <c r="N33" s="11"/>
      <c r="Q33" s="3">
        <v>0</v>
      </c>
      <c r="R33" s="3">
        <v>0</v>
      </c>
      <c r="S33" s="3">
        <v>0</v>
      </c>
      <c r="T33" s="3">
        <v>0</v>
      </c>
      <c r="U33" s="3">
        <v>0</v>
      </c>
    </row>
    <row r="34" spans="1:21" x14ac:dyDescent="0.3">
      <c r="I34" s="11"/>
      <c r="J34" s="11"/>
      <c r="K34" s="11"/>
      <c r="L34" s="11"/>
      <c r="M34" s="11"/>
      <c r="N34" s="11"/>
      <c r="T34" s="3"/>
      <c r="U34" s="3"/>
    </row>
    <row r="35" spans="1:21" x14ac:dyDescent="0.3">
      <c r="B35" s="7"/>
      <c r="C35" s="7"/>
      <c r="D35" s="7"/>
      <c r="E35" s="7"/>
      <c r="F35" s="7"/>
      <c r="G35" s="7"/>
      <c r="H35" s="7"/>
      <c r="I35" s="7">
        <v>6767773.4513274347</v>
      </c>
      <c r="J35" s="7">
        <v>3374049.5575221241</v>
      </c>
      <c r="K35" s="7">
        <v>1643875.2212389382</v>
      </c>
      <c r="L35" s="7">
        <v>1341878.7610619473</v>
      </c>
      <c r="M35" s="7">
        <v>969292.03539822996</v>
      </c>
    </row>
    <row r="36" spans="1:21" x14ac:dyDescent="0.3">
      <c r="A36" t="s">
        <v>42</v>
      </c>
      <c r="B36" s="7">
        <v>1058793.9823008853</v>
      </c>
      <c r="C36" s="7">
        <v>1108405.9000000011</v>
      </c>
      <c r="D36" s="7">
        <v>-669831.10619469034</v>
      </c>
      <c r="E36" s="7">
        <v>189127.52212389396</v>
      </c>
      <c r="F36" s="7">
        <v>-3098915.991150442</v>
      </c>
      <c r="G36" s="7">
        <v>-1995120.3499999987</v>
      </c>
      <c r="H36" s="7">
        <v>1632952.1238938051</v>
      </c>
      <c r="I36" s="7">
        <f>'[1]PL-DX'!$CL$16*1000</f>
        <v>6767773.1984829325</v>
      </c>
      <c r="J36" s="7">
        <f>'[1]PL-DX'!$CW$16*1000</f>
        <v>3374049.5120101129</v>
      </c>
      <c r="K36" s="7">
        <f>'[1]PL-DX'!$DH$16*1000</f>
        <v>16915999.260682676</v>
      </c>
      <c r="L36" s="7">
        <f>+'[1]PL-DX'!$DS$16*1000</f>
        <v>16614002.844500631</v>
      </c>
      <c r="M36" s="7">
        <f>+'[1]PL-DX'!$ED$16*1000</f>
        <v>16241415.929203542</v>
      </c>
    </row>
    <row r="37" spans="1:21" x14ac:dyDescent="0.3">
      <c r="B37" s="16">
        <f>B18/B36</f>
        <v>0.21680610566104092</v>
      </c>
      <c r="C37" s="16">
        <f t="shared" ref="C37:H37" si="29">C18/C36</f>
        <v>0.21976516003749147</v>
      </c>
      <c r="D37" s="16">
        <f t="shared" si="29"/>
        <v>-3.942486360483289E-2</v>
      </c>
      <c r="E37" s="16">
        <f t="shared" si="29"/>
        <v>0.21698587037542194</v>
      </c>
      <c r="F37" s="16">
        <f t="shared" si="29"/>
        <v>0</v>
      </c>
      <c r="G37" s="16">
        <f t="shared" si="29"/>
        <v>0</v>
      </c>
      <c r="H37" s="16">
        <f t="shared" si="29"/>
        <v>0.1980002936209945</v>
      </c>
      <c r="I37" s="16">
        <f>Q18/I36</f>
        <v>0.20315397098534541</v>
      </c>
      <c r="J37" s="16">
        <f t="shared" ref="J37:M37" si="30">R18/J36</f>
        <v>0.20481442182165843</v>
      </c>
      <c r="K37" s="16">
        <f t="shared" si="30"/>
        <v>0.20491269516998731</v>
      </c>
      <c r="L37" s="16">
        <f t="shared" si="30"/>
        <v>0.20457875394700886</v>
      </c>
      <c r="M37" s="16">
        <f t="shared" si="30"/>
        <v>0.20367300575389038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AD1134</dc:creator>
  <cp:lastModifiedBy>Mei(현미) F/KR/MGT/FPA</cp:lastModifiedBy>
  <dcterms:created xsi:type="dcterms:W3CDTF">2026-09-01T04:51:40Z</dcterms:created>
  <dcterms:modified xsi:type="dcterms:W3CDTF">2026-09-01T07:21:15Z</dcterms:modified>
</cp:coreProperties>
</file>